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mayee Panda\Desktop\MA\Books\Econometrics\"/>
    </mc:Choice>
  </mc:AlternateContent>
  <xr:revisionPtr revIDLastSave="0" documentId="8_{CA4117FA-C160-46E0-86F4-C777A0070441}" xr6:coauthVersionLast="47" xr6:coauthVersionMax="47" xr10:uidLastSave="{00000000-0000-0000-0000-000000000000}"/>
  <bookViews>
    <workbookView xWindow="-110" yWindow="-110" windowWidth="19420" windowHeight="12220" activeTab="3" xr2:uid="{E07C5073-B26C-495B-B889-263A89005914}"/>
  </bookViews>
  <sheets>
    <sheet name="Background" sheetId="1" r:id="rId1"/>
    <sheet name="OPEX" sheetId="3" r:id="rId2"/>
    <sheet name="CAPEX" sheetId="2" r:id="rId3"/>
    <sheet name="Revenu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F7" i="2"/>
  <c r="C7" i="2"/>
  <c r="G14" i="1"/>
  <c r="D17" i="1"/>
  <c r="F6" i="1"/>
  <c r="F4" i="1"/>
</calcChain>
</file>

<file path=xl/sharedStrings.xml><?xml version="1.0" encoding="utf-8"?>
<sst xmlns="http://schemas.openxmlformats.org/spreadsheetml/2006/main" count="105" uniqueCount="77">
  <si>
    <t>Parameter</t>
  </si>
  <si>
    <t>Sq.ft.</t>
  </si>
  <si>
    <t xml:space="preserve">Solar canopy </t>
  </si>
  <si>
    <t>Table 1.1: Land Utilisation for Solar Canopy per Parking Space</t>
  </si>
  <si>
    <t>Parking Space (A)</t>
  </si>
  <si>
    <t xml:space="preserve">Solar canopy (B) </t>
  </si>
  <si>
    <t>Structure overhead (C)</t>
  </si>
  <si>
    <t>Total land allocation (B+C)</t>
  </si>
  <si>
    <t>Total sq.ft</t>
  </si>
  <si>
    <t>Battery</t>
  </si>
  <si>
    <t>Total Capex</t>
  </si>
  <si>
    <t>Table 1.2: Land Utilisation for a Single Solar Canopy - 3 Charging Stations</t>
  </si>
  <si>
    <t>Solar panels</t>
  </si>
  <si>
    <t>Maintenance</t>
  </si>
  <si>
    <t>Land lease (% of revenue)</t>
  </si>
  <si>
    <t>Table 2.1A: CapEX - SC, SAC, B</t>
  </si>
  <si>
    <t>Table 2.1B: CapEX - SC, DC, B</t>
  </si>
  <si>
    <t>Installation</t>
  </si>
  <si>
    <t>Panel price/watt</t>
  </si>
  <si>
    <t>One panel price</t>
  </si>
  <si>
    <t>28 sq.ft</t>
  </si>
  <si>
    <t>Solar canopy usable area</t>
  </si>
  <si>
    <t>Total panels on one canopy</t>
  </si>
  <si>
    <t xml:space="preserve">21 panels </t>
  </si>
  <si>
    <t>Price for 20 panels</t>
  </si>
  <si>
    <t>Table 1.4: Solar Panel System per canopy</t>
  </si>
  <si>
    <t>Lithium-ion battery (15 kwh)</t>
  </si>
  <si>
    <t>Off-grid inverter (10kW)</t>
  </si>
  <si>
    <t>LITHIUM-ION BATTERIES = RS.25000-RS.30000/kwh</t>
  </si>
  <si>
    <t>AC Charger (2 units)</t>
  </si>
  <si>
    <t>DC Charger (1 unit)</t>
  </si>
  <si>
    <t>Canopy structure &amp; installation</t>
  </si>
  <si>
    <t>Rs.210/sq.ft</t>
  </si>
  <si>
    <t>Canopy structure</t>
  </si>
  <si>
    <t>Solar panel system</t>
  </si>
  <si>
    <t xml:space="preserve">Charger allocation </t>
  </si>
  <si>
    <t>15% of revenue</t>
  </si>
  <si>
    <t xml:space="preserve">Table 3: Opex </t>
  </si>
  <si>
    <t>Misc</t>
  </si>
  <si>
    <t>1 panel generates 670w</t>
  </si>
  <si>
    <t xml:space="preserve">Table 1.3: Solar Panel - BIS Certified Bifacial MonoPERC halfcut 670W </t>
  </si>
  <si>
    <t>670W panel</t>
  </si>
  <si>
    <t>600 sq.ft</t>
  </si>
  <si>
    <t>600/28  = 21panels</t>
  </si>
  <si>
    <t xml:space="preserve">14070W </t>
  </si>
  <si>
    <t>Rs. 26</t>
  </si>
  <si>
    <t>Rs.365820</t>
  </si>
  <si>
    <t>Software</t>
  </si>
  <si>
    <t>No. of AC chargers</t>
  </si>
  <si>
    <t>Avg. vehicles/day</t>
  </si>
  <si>
    <t>Avg. charge/vehicle</t>
  </si>
  <si>
    <t>20 kWh</t>
  </si>
  <si>
    <t>Tariff</t>
  </si>
  <si>
    <t>Rs.11/kWh</t>
  </si>
  <si>
    <t>Daily revenue</t>
  </si>
  <si>
    <t>Monthly revenue</t>
  </si>
  <si>
    <t>Yearly revenue</t>
  </si>
  <si>
    <t>No. of DC chargers</t>
  </si>
  <si>
    <t>30 kWh</t>
  </si>
  <si>
    <t>Rs.16/kWh</t>
  </si>
  <si>
    <t>Rs.4800</t>
  </si>
  <si>
    <t>Avg. vehicles/charger/day</t>
  </si>
  <si>
    <t>Total vehicles/day</t>
  </si>
  <si>
    <t>Rs.1760</t>
  </si>
  <si>
    <t>Rs.52,800</t>
  </si>
  <si>
    <t>Sr.no.</t>
  </si>
  <si>
    <t>Parameters</t>
  </si>
  <si>
    <t>Values</t>
  </si>
  <si>
    <t>Rs.17,52,000</t>
  </si>
  <si>
    <t>Rs.1,44,000</t>
  </si>
  <si>
    <t>Rs.6,42,400</t>
  </si>
  <si>
    <t>2% of capex</t>
  </si>
  <si>
    <t>Charging type</t>
  </si>
  <si>
    <t>Annual Revenue</t>
  </si>
  <si>
    <t>AC (2 units)</t>
  </si>
  <si>
    <t>DC (1 unit)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</si>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</sst>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65" formatCode="&quot;₹&quot;\ #,##0.00"/>
    <numFmt numFmtId="166" formatCode="&quot;₹&quot;\ #,##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8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64" fontId="2" fillId="0" borderId="12" xfId="1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6" fontId="2" fillId="0" borderId="10" xfId="0" applyNumberFormat="1" applyFont="1" applyBorder="1" applyAlignment="1">
      <alignment horizontal="center" vertical="center" wrapText="1"/>
    </xf>
    <xf numFmtId="166" fontId="2" fillId="0" borderId="12" xfId="1" applyNumberFormat="1" applyFont="1" applyBorder="1" applyAlignment="1">
      <alignment horizontal="center" vertical="center" wrapText="1"/>
    </xf>
    <xf numFmtId="166" fontId="2" fillId="0" borderId="0" xfId="1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3" fontId="0" fillId="0" borderId="0" xfId="0" applyNumberFormat="1"/>
    <xf numFmtId="3" fontId="2" fillId="0" borderId="2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166" fontId="2" fillId="0" borderId="2" xfId="1" applyNumberFormat="1" applyFont="1" applyBorder="1" applyAlignment="1">
      <alignment horizontal="center" vertical="center" wrapText="1"/>
    </xf>
    <xf numFmtId="166" fontId="2" fillId="0" borderId="3" xfId="1" applyNumberFormat="1" applyFont="1" applyBorder="1" applyAlignment="1">
      <alignment horizontal="center" vertical="center" wrapText="1"/>
    </xf>
    <xf numFmtId="166" fontId="2" fillId="0" borderId="12" xfId="1" applyNumberFormat="1" applyFont="1" applyBorder="1" applyAlignment="1">
      <alignment horizontal="center" vertical="center"/>
    </xf>
    <xf numFmtId="166" fontId="2" fillId="0" borderId="4" xfId="1" applyNumberFormat="1" applyFont="1" applyBorder="1" applyAlignment="1">
      <alignment horizontal="center" vertical="center" wrapText="1"/>
    </xf>
    <xf numFmtId="166" fontId="2" fillId="0" borderId="1" xfId="1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 wrapText="1"/>
    </xf>
    <xf numFmtId="166" fontId="2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/>
    <xf numFmtId="165" fontId="0" fillId="0" borderId="0" xfId="0" applyNumberFormat="1" applyAlignment="1">
      <alignment horizontal="center" vertical="center" wrapText="1"/>
    </xf>
    <xf numFmtId="166" fontId="0" fillId="0" borderId="0" xfId="0" applyNumberFormat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E249-6B8E-4836-A5C5-C244D364E656}">
  <dimension ref="B1:I21"/>
  <sheetViews>
    <sheetView topLeftCell="B1" workbookViewId="0">
      <selection activeCell="E10" sqref="E10"/>
    </sheetView>
  </sheetViews>
  <sheetFormatPr defaultColWidth="12.81640625" defaultRowHeight="15.5" x14ac:dyDescent="0.35"/>
  <cols>
    <col min="1" max="1" width="8.81640625" style="4" customWidth="1"/>
    <col min="2" max="2" width="24.54296875" style="4" customWidth="1"/>
    <col min="3" max="3" width="12.90625" style="4" customWidth="1"/>
    <col min="4" max="4" width="18.90625" customWidth="1"/>
    <col min="5" max="5" width="25" customWidth="1"/>
    <col min="6" max="6" width="12" style="4" customWidth="1"/>
    <col min="7" max="7" width="12.81640625" style="4"/>
    <col min="8" max="8" width="16.90625" style="4" customWidth="1"/>
    <col min="9" max="9" width="24.6328125" style="4" customWidth="1"/>
    <col min="10" max="16384" width="12.81640625" style="4"/>
  </cols>
  <sheetData>
    <row r="1" spans="2:9" ht="16" thickBot="1" x14ac:dyDescent="0.4">
      <c r="D1" s="4"/>
      <c r="E1" s="4"/>
    </row>
    <row r="2" spans="2:9" ht="47" customHeight="1" thickBot="1" x14ac:dyDescent="0.4">
      <c r="B2" s="42" t="s">
        <v>3</v>
      </c>
      <c r="C2" s="43"/>
      <c r="D2" s="4"/>
      <c r="E2" s="42" t="s">
        <v>11</v>
      </c>
      <c r="F2" s="43"/>
      <c r="H2" s="42" t="s">
        <v>40</v>
      </c>
      <c r="I2" s="43"/>
    </row>
    <row r="3" spans="2:9" ht="16" thickBot="1" x14ac:dyDescent="0.4">
      <c r="B3" s="5" t="s">
        <v>0</v>
      </c>
      <c r="C3" s="10" t="s">
        <v>1</v>
      </c>
      <c r="D3" s="4"/>
      <c r="E3" s="10" t="s">
        <v>0</v>
      </c>
      <c r="F3" s="10" t="s">
        <v>8</v>
      </c>
      <c r="H3" s="17" t="s">
        <v>18</v>
      </c>
      <c r="I3" s="18" t="s">
        <v>45</v>
      </c>
    </row>
    <row r="4" spans="2:9" x14ac:dyDescent="0.35">
      <c r="B4" s="6" t="s">
        <v>4</v>
      </c>
      <c r="C4" s="1">
        <v>135</v>
      </c>
      <c r="D4" s="4"/>
      <c r="E4" s="6" t="s">
        <v>4</v>
      </c>
      <c r="F4" s="11">
        <f>135*3</f>
        <v>405</v>
      </c>
      <c r="H4" s="15" t="s">
        <v>19</v>
      </c>
      <c r="I4" s="16">
        <f>670*26</f>
        <v>17420</v>
      </c>
    </row>
    <row r="5" spans="2:9" x14ac:dyDescent="0.35">
      <c r="B5" s="7" t="s">
        <v>5</v>
      </c>
      <c r="C5" s="2">
        <v>200</v>
      </c>
      <c r="D5" s="4"/>
      <c r="E5" s="7" t="s">
        <v>5</v>
      </c>
      <c r="F5" s="11">
        <v>600</v>
      </c>
      <c r="H5" s="44" t="s">
        <v>39</v>
      </c>
      <c r="I5" s="45"/>
    </row>
    <row r="6" spans="2:9" ht="16" thickBot="1" x14ac:dyDescent="0.4">
      <c r="B6" s="8" t="s">
        <v>6</v>
      </c>
      <c r="C6" s="3">
        <v>45</v>
      </c>
      <c r="D6" s="4"/>
      <c r="E6" s="8" t="s">
        <v>6</v>
      </c>
      <c r="F6" s="13">
        <f>45*3</f>
        <v>135</v>
      </c>
      <c r="H6" s="19" t="s">
        <v>41</v>
      </c>
      <c r="I6" s="20" t="s">
        <v>20</v>
      </c>
    </row>
    <row r="7" spans="2:9" ht="31.5" thickBot="1" x14ac:dyDescent="0.4">
      <c r="B7" s="9" t="s">
        <v>7</v>
      </c>
      <c r="C7" s="12">
        <v>245</v>
      </c>
      <c r="D7" s="4"/>
      <c r="E7" s="9" t="s">
        <v>7</v>
      </c>
      <c r="F7" s="12">
        <v>735</v>
      </c>
      <c r="H7" s="15" t="s">
        <v>21</v>
      </c>
      <c r="I7" s="16" t="s">
        <v>42</v>
      </c>
    </row>
    <row r="8" spans="2:9" ht="31.5" thickBot="1" x14ac:dyDescent="0.4">
      <c r="D8" s="4"/>
      <c r="E8" s="4"/>
      <c r="H8" s="15" t="s">
        <v>22</v>
      </c>
      <c r="I8" s="16" t="s">
        <v>43</v>
      </c>
    </row>
    <row r="9" spans="2:9" ht="50.5" customHeight="1" thickBot="1" x14ac:dyDescent="0.4">
      <c r="C9" s="42" t="s">
        <v>25</v>
      </c>
      <c r="D9" s="43"/>
      <c r="H9" s="15" t="s">
        <v>23</v>
      </c>
      <c r="I9" s="16" t="s">
        <v>44</v>
      </c>
    </row>
    <row r="10" spans="2:9" ht="47" thickBot="1" x14ac:dyDescent="0.4">
      <c r="C10" s="12" t="s">
        <v>26</v>
      </c>
      <c r="D10" s="22">
        <v>405000</v>
      </c>
      <c r="E10" s="27">
        <v>135000</v>
      </c>
      <c r="H10" s="15" t="s">
        <v>24</v>
      </c>
      <c r="I10" s="21" t="s">
        <v>46</v>
      </c>
    </row>
    <row r="11" spans="2:9" ht="46.5" x14ac:dyDescent="0.35">
      <c r="C11" s="6" t="s">
        <v>27</v>
      </c>
      <c r="D11" s="23">
        <v>90000</v>
      </c>
      <c r="E11">
        <v>30000</v>
      </c>
      <c r="H11" s="15"/>
      <c r="I11" s="15"/>
    </row>
    <row r="12" spans="2:9" ht="31" x14ac:dyDescent="0.35">
      <c r="C12" s="6" t="s">
        <v>29</v>
      </c>
      <c r="D12" s="23">
        <v>120000</v>
      </c>
    </row>
    <row r="13" spans="2:9" ht="31" x14ac:dyDescent="0.35">
      <c r="C13" s="6" t="s">
        <v>30</v>
      </c>
      <c r="D13" s="23">
        <v>450000</v>
      </c>
    </row>
    <row r="14" spans="2:9" x14ac:dyDescent="0.35">
      <c r="C14" s="15" t="s">
        <v>12</v>
      </c>
      <c r="D14" s="24">
        <v>365820</v>
      </c>
      <c r="E14">
        <v>88000</v>
      </c>
      <c r="G14" s="4">
        <f>E14+E11</f>
        <v>118000</v>
      </c>
    </row>
    <row r="15" spans="2:9" x14ac:dyDescent="0.35">
      <c r="C15" s="15" t="s">
        <v>47</v>
      </c>
      <c r="D15" s="24">
        <v>100000</v>
      </c>
    </row>
    <row r="16" spans="2:9" ht="46.5" x14ac:dyDescent="0.35">
      <c r="C16" s="15" t="s">
        <v>31</v>
      </c>
      <c r="D16" s="24">
        <v>195000</v>
      </c>
      <c r="E16">
        <v>65000</v>
      </c>
    </row>
    <row r="17" spans="2:4" x14ac:dyDescent="0.35">
      <c r="C17" s="14"/>
      <c r="D17" s="25">
        <f>SUM(D10:D16)</f>
        <v>1725820</v>
      </c>
    </row>
    <row r="19" spans="2:4" ht="46.5" x14ac:dyDescent="0.35">
      <c r="B19" s="4" t="s">
        <v>28</v>
      </c>
      <c r="C19" s="4">
        <v>270000</v>
      </c>
    </row>
    <row r="20" spans="2:4" x14ac:dyDescent="0.35">
      <c r="B20" s="4" t="s">
        <v>33</v>
      </c>
      <c r="C20" s="4" t="s">
        <v>32</v>
      </c>
      <c r="D20" s="27">
        <v>141450</v>
      </c>
    </row>
    <row r="21" spans="2:4" x14ac:dyDescent="0.35">
      <c r="B21" s="4" t="s">
        <v>17</v>
      </c>
      <c r="C21" s="26">
        <v>50000</v>
      </c>
    </row>
  </sheetData>
  <mergeCells count="5">
    <mergeCell ref="B2:C2"/>
    <mergeCell ref="E2:F2"/>
    <mergeCell ref="H2:I2"/>
    <mergeCell ref="H5:I5"/>
    <mergeCell ref="C9:D9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2695-535E-46C4-8DC4-B19AA496DDE6}">
  <dimension ref="B1:D5"/>
  <sheetViews>
    <sheetView workbookViewId="0">
      <selection activeCell="E5" sqref="E5"/>
    </sheetView>
  </sheetViews>
  <sheetFormatPr defaultRowHeight="14.5" x14ac:dyDescent="0.35"/>
  <cols>
    <col min="2" max="2" width="26.1796875" customWidth="1"/>
    <col min="3" max="3" width="15.6328125" customWidth="1"/>
    <col min="4" max="4" width="12.6328125" bestFit="1" customWidth="1"/>
    <col min="5" max="5" width="15.1796875" customWidth="1"/>
    <col min="6" max="6" width="13.36328125" customWidth="1"/>
    <col min="10" max="10" width="16.81640625" customWidth="1"/>
  </cols>
  <sheetData>
    <row r="1" spans="2:4" ht="15" thickBot="1" x14ac:dyDescent="0.4"/>
    <row r="2" spans="2:4" ht="15.5" thickBot="1" x14ac:dyDescent="0.4">
      <c r="B2" s="42" t="s">
        <v>37</v>
      </c>
      <c r="C2" s="43"/>
    </row>
    <row r="3" spans="2:4" ht="15.5" x14ac:dyDescent="0.35">
      <c r="B3" s="6" t="s">
        <v>13</v>
      </c>
      <c r="C3" s="1" t="s">
        <v>71</v>
      </c>
      <c r="D3" s="41">
        <v>34516</v>
      </c>
    </row>
    <row r="4" spans="2:4" ht="15.5" x14ac:dyDescent="0.35">
      <c r="B4" s="6" t="s">
        <v>14</v>
      </c>
      <c r="C4" s="1" t="s">
        <v>36</v>
      </c>
      <c r="D4" s="41">
        <v>359160</v>
      </c>
    </row>
    <row r="5" spans="2:4" ht="15.5" x14ac:dyDescent="0.35">
      <c r="B5" s="6" t="s">
        <v>38</v>
      </c>
      <c r="C5" s="28">
        <v>70000</v>
      </c>
      <c r="D5" s="41">
        <v>70000</v>
      </c>
    </row>
  </sheetData>
  <mergeCells count="1">
    <mergeCell ref="B2:C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FE1F-5B07-4692-8F2C-2C6086C70C3D}">
  <dimension ref="B1:F7"/>
  <sheetViews>
    <sheetView workbookViewId="0">
      <selection activeCell="C10" sqref="C10"/>
    </sheetView>
  </sheetViews>
  <sheetFormatPr defaultRowHeight="34" customHeight="1" x14ac:dyDescent="0.35"/>
  <cols>
    <col min="1" max="1" width="8.7265625" style="4"/>
    <col min="2" max="2" width="23.6328125" style="4" customWidth="1"/>
    <col min="3" max="3" width="13.54296875" style="4" customWidth="1"/>
    <col min="4" max="4" width="8.7265625" style="4"/>
    <col min="5" max="5" width="25.90625" style="4" customWidth="1"/>
    <col min="6" max="6" width="11" style="4" customWidth="1"/>
    <col min="7" max="16384" width="8.7265625" style="4"/>
  </cols>
  <sheetData>
    <row r="1" spans="2:6" ht="34" customHeight="1" thickBot="1" x14ac:dyDescent="0.4"/>
    <row r="2" spans="2:6" ht="34" customHeight="1" thickBot="1" x14ac:dyDescent="0.4">
      <c r="B2" s="42" t="s">
        <v>15</v>
      </c>
      <c r="C2" s="43"/>
      <c r="E2" s="42" t="s">
        <v>16</v>
      </c>
      <c r="F2" s="43"/>
    </row>
    <row r="3" spans="2:6" ht="34" customHeight="1" x14ac:dyDescent="0.35">
      <c r="B3" s="6" t="s">
        <v>34</v>
      </c>
      <c r="C3" s="30">
        <v>118000</v>
      </c>
      <c r="E3" s="6" t="s">
        <v>2</v>
      </c>
      <c r="F3" s="35">
        <v>118000</v>
      </c>
    </row>
    <row r="4" spans="2:6" ht="34" customHeight="1" x14ac:dyDescent="0.35">
      <c r="B4" s="7" t="s">
        <v>35</v>
      </c>
      <c r="C4" s="31">
        <v>60000</v>
      </c>
      <c r="E4" s="7" t="s">
        <v>35</v>
      </c>
      <c r="F4" s="36">
        <v>450000</v>
      </c>
    </row>
    <row r="5" spans="2:6" ht="34" customHeight="1" x14ac:dyDescent="0.35">
      <c r="B5" s="8" t="s">
        <v>9</v>
      </c>
      <c r="C5" s="32">
        <v>135000</v>
      </c>
      <c r="E5" s="8" t="s">
        <v>9</v>
      </c>
      <c r="F5" s="37">
        <v>135000</v>
      </c>
    </row>
    <row r="6" spans="2:6" ht="34" customHeight="1" thickBot="1" x14ac:dyDescent="0.4">
      <c r="B6" s="16" t="s">
        <v>31</v>
      </c>
      <c r="C6" s="33">
        <v>65000</v>
      </c>
      <c r="E6" s="16" t="s">
        <v>31</v>
      </c>
      <c r="F6" s="37">
        <v>65000</v>
      </c>
    </row>
    <row r="7" spans="2:6" ht="34" customHeight="1" thickBot="1" x14ac:dyDescent="0.4">
      <c r="B7" s="29" t="s">
        <v>10</v>
      </c>
      <c r="C7" s="34">
        <f>SUM(C3:C6)</f>
        <v>378000</v>
      </c>
      <c r="E7" s="9" t="s">
        <v>10</v>
      </c>
      <c r="F7" s="22">
        <f>SUM(F3:F6)</f>
        <v>768000</v>
      </c>
    </row>
  </sheetData>
  <mergeCells count="2">
    <mergeCell ref="B2:C2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9870-1A9A-4AA8-8786-80E170E7C587}">
  <dimension ref="A1:J25"/>
  <sheetViews>
    <sheetView tabSelected="1" workbookViewId="0">
      <selection activeCell="H28" sqref="H28"/>
    </sheetView>
  </sheetViews>
  <sheetFormatPr defaultRowHeight="14.5" x14ac:dyDescent="0.35"/>
  <cols>
    <col min="1" max="1" width="22.08984375" customWidth="1"/>
    <col min="2" max="2" width="18.6328125" customWidth="1"/>
    <col min="3" max="3" width="18.453125" customWidth="1"/>
    <col min="4" max="4" width="15.08984375" customWidth="1"/>
    <col min="5" max="5" width="17.81640625" customWidth="1"/>
    <col min="6" max="6" width="23.90625" customWidth="1"/>
    <col min="7" max="7" width="19.453125" customWidth="1"/>
    <col min="8" max="8" width="22.81640625" customWidth="1"/>
    <col min="9" max="9" width="38.54296875" customWidth="1"/>
    <col min="10" max="10" width="17.54296875" customWidth="1"/>
  </cols>
  <sheetData>
    <row r="1" spans="1:10" x14ac:dyDescent="0.35">
      <c r="A1" s="38" t="s">
        <v>48</v>
      </c>
      <c r="B1">
        <v>1</v>
      </c>
    </row>
    <row r="2" spans="1:10" ht="15" x14ac:dyDescent="0.35">
      <c r="A2" s="38" t="s">
        <v>61</v>
      </c>
      <c r="B2">
        <v>4</v>
      </c>
      <c r="C2" s="47"/>
      <c r="H2" t="s">
        <v>65</v>
      </c>
      <c r="I2" t="s">
        <v>66</v>
      </c>
      <c r="J2" t="s">
        <v>67</v>
      </c>
    </row>
    <row r="3" spans="1:10" ht="15.5" x14ac:dyDescent="0.35">
      <c r="A3" s="38" t="s">
        <v>62</v>
      </c>
      <c r="C3" s="46"/>
      <c r="H3">
        <v>1</v>
      </c>
      <c r="I3" s="38" t="s">
        <v>48</v>
      </c>
      <c r="J3" s="38">
        <v>2</v>
      </c>
    </row>
    <row r="4" spans="1:10" ht="15.5" x14ac:dyDescent="0.35">
      <c r="A4" s="38" t="s">
        <v>50</v>
      </c>
      <c r="B4">
        <v>20</v>
      </c>
      <c r="C4" s="46"/>
      <c r="H4">
        <v>2</v>
      </c>
      <c r="I4" s="38" t="s">
        <v>61</v>
      </c>
      <c r="J4" s="38">
        <v>4</v>
      </c>
    </row>
    <row r="5" spans="1:10" ht="15.5" x14ac:dyDescent="0.35">
      <c r="A5" s="38" t="s">
        <v>52</v>
      </c>
      <c r="B5">
        <v>11</v>
      </c>
      <c r="C5" s="46"/>
      <c r="H5">
        <v>3</v>
      </c>
      <c r="I5" s="38" t="s">
        <v>62</v>
      </c>
      <c r="J5" s="38">
        <v>8</v>
      </c>
    </row>
    <row r="6" spans="1:10" ht="15.5" x14ac:dyDescent="0.35">
      <c r="A6" s="38" t="s">
        <v>54</v>
      </c>
      <c r="B6">
        <v>880</v>
      </c>
      <c r="C6" s="46"/>
      <c r="H6">
        <v>4</v>
      </c>
      <c r="I6" s="38" t="s">
        <v>50</v>
      </c>
      <c r="J6" s="38" t="s">
        <v>51</v>
      </c>
    </row>
    <row r="7" spans="1:10" x14ac:dyDescent="0.35">
      <c r="A7" s="38" t="s">
        <v>55</v>
      </c>
      <c r="B7">
        <v>26400</v>
      </c>
      <c r="H7">
        <v>5</v>
      </c>
      <c r="I7" s="38" t="s">
        <v>52</v>
      </c>
      <c r="J7" s="39" t="s">
        <v>53</v>
      </c>
    </row>
    <row r="8" spans="1:10" x14ac:dyDescent="0.35">
      <c r="A8" s="38" t="s">
        <v>56</v>
      </c>
      <c r="B8">
        <v>321200</v>
      </c>
      <c r="H8">
        <v>6</v>
      </c>
      <c r="I8" s="38" t="s">
        <v>54</v>
      </c>
      <c r="J8" s="40" t="s">
        <v>63</v>
      </c>
    </row>
    <row r="9" spans="1:10" x14ac:dyDescent="0.35">
      <c r="H9">
        <v>7</v>
      </c>
      <c r="I9" s="38" t="s">
        <v>55</v>
      </c>
      <c r="J9" s="38" t="s">
        <v>64</v>
      </c>
    </row>
    <row r="10" spans="1:10" x14ac:dyDescent="0.35">
      <c r="H10">
        <v>8</v>
      </c>
      <c r="I10" s="38" t="s">
        <v>56</v>
      </c>
      <c r="J10" s="38" t="s">
        <v>70</v>
      </c>
    </row>
    <row r="12" spans="1:10" x14ac:dyDescent="0.35">
      <c r="H12" t="s">
        <v>65</v>
      </c>
      <c r="I12" t="s">
        <v>66</v>
      </c>
      <c r="J12" t="s">
        <v>67</v>
      </c>
    </row>
    <row r="13" spans="1:10" x14ac:dyDescent="0.35">
      <c r="H13">
        <v>1</v>
      </c>
      <c r="I13" s="38" t="s">
        <v>57</v>
      </c>
      <c r="J13" s="38">
        <v>1</v>
      </c>
    </row>
    <row r="14" spans="1:10" x14ac:dyDescent="0.35">
      <c r="H14">
        <v>2</v>
      </c>
      <c r="I14" s="38" t="s">
        <v>49</v>
      </c>
      <c r="J14" s="38">
        <v>10</v>
      </c>
    </row>
    <row r="15" spans="1:10" x14ac:dyDescent="0.35">
      <c r="H15">
        <v>3</v>
      </c>
      <c r="I15" s="38" t="s">
        <v>50</v>
      </c>
      <c r="J15" s="38" t="s">
        <v>58</v>
      </c>
    </row>
    <row r="16" spans="1:10" x14ac:dyDescent="0.35">
      <c r="H16">
        <v>4</v>
      </c>
      <c r="I16" s="38" t="s">
        <v>52</v>
      </c>
      <c r="J16" t="s">
        <v>59</v>
      </c>
    </row>
    <row r="17" spans="6:10" x14ac:dyDescent="0.35">
      <c r="H17">
        <v>5</v>
      </c>
      <c r="I17" s="38" t="s">
        <v>54</v>
      </c>
      <c r="J17" t="s">
        <v>60</v>
      </c>
    </row>
    <row r="18" spans="6:10" x14ac:dyDescent="0.35">
      <c r="H18">
        <v>6</v>
      </c>
      <c r="I18" s="38" t="s">
        <v>55</v>
      </c>
      <c r="J18" s="38" t="s">
        <v>69</v>
      </c>
    </row>
    <row r="19" spans="6:10" x14ac:dyDescent="0.35">
      <c r="H19">
        <v>7</v>
      </c>
      <c r="I19" s="38" t="s">
        <v>56</v>
      </c>
      <c r="J19" s="38" t="s">
        <v>68</v>
      </c>
    </row>
    <row r="22" spans="6:10" x14ac:dyDescent="0.35">
      <c r="F22" t="s">
        <v>72</v>
      </c>
      <c r="G22" t="s">
        <v>73</v>
      </c>
    </row>
    <row r="23" spans="6:10" x14ac:dyDescent="0.35">
      <c r="F23" t="s">
        <v>74</v>
      </c>
      <c r="G23" s="38" t="s">
        <v>70</v>
      </c>
    </row>
    <row r="24" spans="6:10" x14ac:dyDescent="0.35">
      <c r="F24" t="s">
        <v>75</v>
      </c>
      <c r="G24" s="38" t="s">
        <v>68</v>
      </c>
    </row>
    <row r="25" spans="6:10" x14ac:dyDescent="0.35">
      <c r="F25" t="s">
        <v>76</v>
      </c>
      <c r="G25" s="27">
        <v>2394400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Background</vt:lpstr>
      <vt:lpstr>OPEX</vt:lpstr>
      <vt:lpstr>CAPEX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nirmayeepandaa2003@gmail.com</dc:creator>
  <cp:lastModifiedBy>nirmayeepandaa2003@gmail.com</cp:lastModifiedBy>
  <dcterms:created xsi:type="dcterms:W3CDTF">2026-01-17T13:03:28Z</dcterms:created>
  <dcterms:modified xsi:type="dcterms:W3CDTF">2026-05-03T20:22:48Z</dcterms:modified>
</cp:coreProperties>
</file>